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IDC\08 项目跟踪\03 南方润滑\加热炉\"/>
    </mc:Choice>
  </mc:AlternateContent>
  <xr:revisionPtr revIDLastSave="0" documentId="13_ncr:1_{D247FE09-2B81-43EA-9832-9BF76B2F37E2}" xr6:coauthVersionLast="47" xr6:coauthVersionMax="47" xr10:uidLastSave="{00000000-0000-0000-0000-000000000000}"/>
  <bookViews>
    <workbookView xWindow="-110" yWindow="-110" windowWidth="21820" windowHeight="13900" xr2:uid="{91650CED-A4E9-4252-89E1-27D83A846DD2}"/>
  </bookViews>
  <sheets>
    <sheet name="功能分阶段 " sheetId="1" r:id="rId1"/>
  </sheets>
  <definedNames>
    <definedName name="_xlnm.Print_Area" localSheetId="0">'功能分阶段 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H45" i="1"/>
  <c r="H46" i="1" s="1"/>
  <c r="H44" i="1"/>
  <c r="H43" i="1"/>
  <c r="H38" i="1"/>
  <c r="H35" i="1"/>
  <c r="H23" i="1"/>
  <c r="H12" i="1"/>
  <c r="H9" i="1"/>
  <c r="H4" i="1"/>
</calcChain>
</file>

<file path=xl/sharedStrings.xml><?xml version="1.0" encoding="utf-8"?>
<sst xmlns="http://schemas.openxmlformats.org/spreadsheetml/2006/main" count="91" uniqueCount="83">
  <si>
    <t>第一阶段</t>
    <phoneticPr fontId="3" type="noConversion"/>
  </si>
  <si>
    <t>序号</t>
  </si>
  <si>
    <t>内容</t>
  </si>
  <si>
    <t>功能说明</t>
  </si>
  <si>
    <t>智慧调度与排产中枢</t>
  </si>
  <si>
    <t>套</t>
    <phoneticPr fontId="3" type="noConversion"/>
  </si>
  <si>
    <t>跨工序排程视图</t>
  </si>
  <si>
    <t>正常生产排产优化模块</t>
  </si>
  <si>
    <t>消除平稳期的节奏错位与过烧</t>
  </si>
  <si>
    <t>批次级能流核算与追溯模型</t>
  </si>
  <si>
    <t>能耗核算</t>
  </si>
  <si>
    <t>业务模型与参数配置中心</t>
  </si>
  <si>
    <t>工艺参数库（驻炉时长约束、容量限制等）可视化配置。</t>
  </si>
  <si>
    <t>生产态势综合驾驶舱</t>
  </si>
  <si>
    <t>经营与碳排管理仪表盘</t>
  </si>
  <si>
    <t>核心指标池汇聚综合热装率、总降本体现、班组能效排名及月度碳排概览。</t>
  </si>
  <si>
    <t>电子交接班与台账报表</t>
  </si>
  <si>
    <t>自动生成满足财务与生产审计的标准业务导出报表</t>
  </si>
  <si>
    <t>工业数据底座与系统平台</t>
  </si>
  <si>
    <t>数据治理</t>
  </si>
  <si>
    <t>3.2.1</t>
  </si>
  <si>
    <t>数据质量管理</t>
  </si>
  <si>
    <t>数据质量规则配置、时序数据清洗，解决断点、跃变极值过滤</t>
  </si>
  <si>
    <t>3.2.2</t>
  </si>
  <si>
    <t>数据标准</t>
  </si>
  <si>
    <t>标准测点、标准指标的统一管理</t>
  </si>
  <si>
    <t>3.2.3</t>
  </si>
  <si>
    <t>数据开发</t>
  </si>
  <si>
    <t>指标计算配置与开发</t>
  </si>
  <si>
    <t>3.2.4</t>
  </si>
  <si>
    <t>数据告警</t>
  </si>
  <si>
    <t>测点、指标异常规则配置与告警</t>
  </si>
  <si>
    <t>系统基础管理框架</t>
  </si>
  <si>
    <t>3.3.1</t>
  </si>
  <si>
    <t>面向调度、主操、工程师的颗粒度角色授权。</t>
  </si>
  <si>
    <t>3.3.2</t>
  </si>
  <si>
    <t>用户与组织架构管理</t>
  </si>
  <si>
    <t>3.3.3</t>
  </si>
  <si>
    <t>系统操作与调度动作审计日志</t>
  </si>
  <si>
    <t>数据采集</t>
    <phoneticPr fontId="3" type="noConversion"/>
  </si>
  <si>
    <t>数据清洗</t>
    <phoneticPr fontId="3" type="noConversion"/>
  </si>
  <si>
    <t>算子开发</t>
    <phoneticPr fontId="3" type="noConversion"/>
  </si>
  <si>
    <t>系统部署联调</t>
    <phoneticPr fontId="3" type="noConversion"/>
  </si>
  <si>
    <t>UPS</t>
    <phoneticPr fontId="3" type="noConversion"/>
  </si>
  <si>
    <t>合计</t>
    <phoneticPr fontId="3" type="noConversion"/>
  </si>
  <si>
    <t>第二阶段</t>
    <phoneticPr fontId="3" type="noConversion"/>
  </si>
  <si>
    <t>保温坑容量监控与流向分配</t>
  </si>
  <si>
    <t>保温坑调度，最大化利用</t>
  </si>
  <si>
    <t>非计划短停(&lt;3h) 应急缓冲模块</t>
  </si>
  <si>
    <t>应对突发断链，防止后方堵死</t>
  </si>
  <si>
    <t>计划性长停(≥3h) 降级控火模块</t>
  </si>
  <si>
    <t>数字化执行《烧火操作制度》</t>
  </si>
  <si>
    <t>数据报表</t>
  </si>
  <si>
    <t>自助式数据报表配置、管理与查看功能</t>
  </si>
  <si>
    <t>移动端小程序</t>
    <phoneticPr fontId="9" type="noConversion"/>
  </si>
  <si>
    <t>总计</t>
    <phoneticPr fontId="3" type="noConversion"/>
  </si>
  <si>
    <t>价税合计</t>
    <phoneticPr fontId="3" type="noConversion"/>
  </si>
  <si>
    <t>钢轧管家操作系统预算</t>
    <phoneticPr fontId="3" type="noConversion"/>
  </si>
  <si>
    <t>（启动后3个月内交付）</t>
    <phoneticPr fontId="3" type="noConversion"/>
  </si>
  <si>
    <t>（2026年6月30号前上线）</t>
  </si>
  <si>
    <r>
      <rPr>
        <sz val="11"/>
        <rFont val="宋体"/>
        <family val="3"/>
        <charset val="134"/>
      </rPr>
      <t>备注</t>
    </r>
    <r>
      <rPr>
        <sz val="11"/>
        <rFont val="Arial"/>
        <family val="2"/>
      </rPr>
      <t>:</t>
    </r>
  </si>
  <si>
    <t xml:space="preserve">单位 </t>
  </si>
  <si>
    <t>数量</t>
  </si>
  <si>
    <t>不含税单价</t>
  </si>
  <si>
    <t>税率</t>
  </si>
  <si>
    <t>备注说明</t>
  </si>
  <si>
    <t>连铸-物流-加热-轧制四级甘特图动态渲染。</t>
  </si>
  <si>
    <t>多源协议解析，对接智能烧钢系统、L2、EMS计量表的数据获取。</t>
  </si>
  <si>
    <t>RBAC权限管理</t>
  </si>
  <si>
    <t>交换机</t>
    <phoneticPr fontId="3" type="noConversion"/>
  </si>
  <si>
    <t>防火墙</t>
    <phoneticPr fontId="3" type="noConversion"/>
  </si>
  <si>
    <t>系统服务器</t>
    <phoneticPr fontId="3" type="noConversion"/>
  </si>
  <si>
    <t>算力服务器</t>
    <phoneticPr fontId="3" type="noConversion"/>
  </si>
  <si>
    <t>辅材</t>
    <phoneticPr fontId="3" type="noConversion"/>
  </si>
  <si>
    <r>
      <rPr>
        <b/>
        <sz val="11"/>
        <rFont val="宋体"/>
        <family val="3"/>
        <charset val="134"/>
        <scheme val="minor"/>
      </rPr>
      <t>IOT/IT 数据采集网关</t>
    </r>
  </si>
  <si>
    <r>
      <rPr>
        <b/>
        <sz val="11"/>
        <rFont val="宋体"/>
        <family val="3"/>
        <charset val="134"/>
        <scheme val="minor"/>
      </rPr>
      <t>实施</t>
    </r>
  </si>
  <si>
    <r>
      <rPr>
        <sz val="11"/>
        <rFont val="宋体"/>
        <family val="3"/>
        <charset val="134"/>
        <scheme val="minor"/>
      </rPr>
      <t>套</t>
    </r>
  </si>
  <si>
    <r>
      <rPr>
        <b/>
        <sz val="11"/>
        <rFont val="宋体"/>
        <family val="3"/>
        <charset val="134"/>
        <scheme val="minor"/>
      </rPr>
      <t>硬件</t>
    </r>
  </si>
  <si>
    <t>1. 智慧加热炉管理系统及软件部署实施，每条线计为1套</t>
  </si>
  <si>
    <t>2. 第一条线为软件平台定制开发, 先聚焦第一阶段实现基本功能, 后续再考虑优化迭代和新线复制</t>
    <phoneticPr fontId="3" type="noConversion"/>
  </si>
  <si>
    <t>3. 第一阶段：预付50%；平台功能开发完成，部署到客户服务器，可以进行DEMO付30%进度款 ；项目验收合格后30日内付20%验收款。</t>
    <phoneticPr fontId="3" type="noConversion"/>
  </si>
  <si>
    <t>4. 第二阶段：预付30%； 平台功能开发完成，部署到客户服务器，可以进行DEMO付30%进度款 ；项目验收合格后30日内付30%验收款；10%质保金，系统正常运行满一年支付。</t>
    <phoneticPr fontId="3" type="noConversion"/>
  </si>
  <si>
    <t>5. 项目总体规划,  第三阶段再考虑智慧能效 / 智慧安环 / 智慧运维 / 智慧双碳等后续拓展功能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</si>
</sst>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"/>
  </numFmts>
  <fonts count="18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"/>
      <charset val="134"/>
    </font>
    <font>
      <b/>
      <sz val="11"/>
      <color theme="1"/>
      <name val="宋体"/>
      <family val="3"/>
      <charset val="134"/>
      <scheme val="minor"/>
    </font>
    <font>
      <sz val="11"/>
      <name val="Arial"/>
      <family val="2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"/>
      <family val="2"/>
    </font>
    <font>
      <b/>
      <sz val="14"/>
      <name val="宋体"/>
      <family val="3"/>
      <charset val="134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1"/>
      </top>
      <bottom/>
      <diagonal/>
    </border>
    <border>
      <left style="thin">
        <color theme="0" tint="-0.14993743705557422"/>
      </left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0" borderId="0"/>
  </cellStyleXfs>
  <cellXfs count="2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>
      <alignment vertical="center"/>
    </xf>
    <xf numFmtId="9" fontId="5" fillId="0" borderId="3" xfId="0" applyNumberFormat="1" applyFont="1" applyBorder="1">
      <alignment vertical="center"/>
    </xf>
    <xf numFmtId="43" fontId="0" fillId="0" borderId="0" xfId="1" applyFont="1">
      <alignment vertical="center"/>
    </xf>
    <xf numFmtId="43" fontId="5" fillId="0" borderId="3" xfId="1" applyFont="1" applyBorder="1">
      <alignment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3" fontId="8" fillId="3" borderId="1" xfId="1" applyFont="1" applyFill="1" applyBorder="1" applyAlignment="1">
      <alignment horizontal="center" vertical="center" wrapText="1"/>
    </xf>
    <xf numFmtId="40" fontId="8" fillId="3" borderId="1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43" fontId="2" fillId="0" borderId="3" xfId="1" applyFont="1" applyBorder="1">
      <alignment vertical="center"/>
    </xf>
    <xf numFmtId="9" fontId="2" fillId="0" borderId="3" xfId="0" applyNumberFormat="1" applyFont="1" applyBorder="1">
      <alignment vertical="center"/>
    </xf>
    <xf numFmtId="0" fontId="16" fillId="0" borderId="3" xfId="2" applyFont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vertical="center" wrapText="1"/>
    </xf>
    <xf numFmtId="0" fontId="16" fillId="0" borderId="0" xfId="0" applyFont="1" applyAlignment="1">
      <alignment horizontal="left" vertical="center" wrapText="1"/>
    </xf>
  </cellXfs>
  <cellStyles count="3">
    <cellStyle name="常规" xfId="0" builtinId="0"/>
    <cellStyle name="常规_bace of 35k  Expansion Project (to 45K)" xfId="2" xr:uid="{8FA5D1A2-183D-40D9-9406-A568BE817179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4F17-561A-439A-9788-24FE1ED882CF}">
  <sheetPr>
    <pageSetUpPr fitToPage="1"/>
  </sheetPr>
  <dimension ref="A1:J52"/>
  <sheetViews>
    <sheetView tabSelected="1" topLeftCell="A30" zoomScale="115" zoomScaleNormal="115" workbookViewId="0">
      <selection activeCell="B45" sqref="B45"/>
    </sheetView>
  </sheetViews>
  <sheetFormatPr defaultColWidth="9.26953125" defaultRowHeight="14"/>
  <cols>
    <col min="1" max="1" width="11.453125" style="1" customWidth="1"/>
    <col min="2" max="2" width="33.54296875" style="1" bestFit="1" customWidth="1"/>
    <col min="3" max="3" width="66.54296875" style="1" customWidth="1"/>
    <col min="4" max="5" width="5.453125" bestFit="1" customWidth="1"/>
    <col min="6" max="6" width="17.26953125" style="5" bestFit="1" customWidth="1"/>
    <col min="7" max="7" width="5.453125" bestFit="1" customWidth="1"/>
    <col min="8" max="8" width="17.26953125" style="5" bestFit="1" customWidth="1"/>
    <col min="9" max="9" width="12.90625" customWidth="1"/>
  </cols>
  <sheetData>
    <row r="1" spans="1:9" s="8" customFormat="1" ht="28" customHeight="1">
      <c r="A1" s="9" t="s">
        <v>57</v>
      </c>
      <c r="B1" s="7"/>
      <c r="C1" s="7"/>
      <c r="D1" s="7"/>
      <c r="E1" s="7"/>
      <c r="F1" s="7"/>
      <c r="G1" s="7"/>
      <c r="H1" s="7"/>
      <c r="I1" s="7"/>
    </row>
    <row r="2" spans="1:9" ht="15.5" thickBot="1">
      <c r="A2" s="18" t="s">
        <v>0</v>
      </c>
      <c r="B2" s="18" t="s">
        <v>59</v>
      </c>
    </row>
    <row r="3" spans="1:9" ht="15">
      <c r="A3" s="14" t="s">
        <v>1</v>
      </c>
      <c r="B3" s="14" t="s">
        <v>2</v>
      </c>
      <c r="C3" s="14" t="s">
        <v>3</v>
      </c>
      <c r="D3" s="14" t="s">
        <v>61</v>
      </c>
      <c r="E3" s="14" t="s">
        <v>62</v>
      </c>
      <c r="F3" s="15" t="s">
        <v>63</v>
      </c>
      <c r="G3" s="16" t="s">
        <v>64</v>
      </c>
      <c r="H3" s="15" t="s">
        <v>56</v>
      </c>
      <c r="I3" s="17" t="s">
        <v>65</v>
      </c>
    </row>
    <row r="4" spans="1:9">
      <c r="A4" s="25">
        <v>1</v>
      </c>
      <c r="B4" s="2" t="s">
        <v>4</v>
      </c>
      <c r="C4" s="19"/>
      <c r="D4" s="20" t="s">
        <v>5</v>
      </c>
      <c r="E4" s="20">
        <v>1</v>
      </c>
      <c r="F4" s="21">
        <v>221238.93805309737</v>
      </c>
      <c r="G4" s="22">
        <v>0.13</v>
      </c>
      <c r="H4" s="21">
        <f>F4*(1+G4)</f>
        <v>250000</v>
      </c>
      <c r="I4" s="20"/>
    </row>
    <row r="5" spans="1:9" ht="14" customHeight="1">
      <c r="A5" s="23">
        <v>1.1000000000000001</v>
      </c>
      <c r="B5" s="24" t="s">
        <v>6</v>
      </c>
      <c r="C5" s="24" t="s">
        <v>66</v>
      </c>
      <c r="D5" s="20"/>
      <c r="E5" s="20"/>
      <c r="F5" s="21"/>
      <c r="G5" s="20"/>
      <c r="H5" s="21"/>
      <c r="I5" s="20"/>
    </row>
    <row r="6" spans="1:9">
      <c r="A6" s="23">
        <v>1.2</v>
      </c>
      <c r="B6" s="24" t="s">
        <v>7</v>
      </c>
      <c r="C6" s="19" t="s">
        <v>8</v>
      </c>
      <c r="D6" s="20"/>
      <c r="E6" s="20"/>
      <c r="F6" s="21"/>
      <c r="G6" s="20"/>
      <c r="H6" s="21"/>
      <c r="I6" s="20"/>
    </row>
    <row r="7" spans="1:9">
      <c r="A7" s="23">
        <v>1.3</v>
      </c>
      <c r="B7" s="24" t="s">
        <v>9</v>
      </c>
      <c r="C7" s="19" t="s">
        <v>10</v>
      </c>
      <c r="D7" s="20"/>
      <c r="E7" s="20"/>
      <c r="F7" s="21"/>
      <c r="G7" s="20"/>
      <c r="H7" s="21"/>
      <c r="I7" s="20"/>
    </row>
    <row r="8" spans="1:9">
      <c r="A8" s="23">
        <v>1.4</v>
      </c>
      <c r="B8" s="24" t="s">
        <v>11</v>
      </c>
      <c r="C8" s="24" t="s">
        <v>12</v>
      </c>
      <c r="D8" s="20"/>
      <c r="E8" s="20"/>
      <c r="F8" s="21"/>
      <c r="G8" s="20"/>
      <c r="H8" s="21"/>
      <c r="I8" s="20"/>
    </row>
    <row r="9" spans="1:9">
      <c r="A9" s="25">
        <v>2</v>
      </c>
      <c r="B9" s="26" t="s">
        <v>13</v>
      </c>
      <c r="C9" s="19"/>
      <c r="D9" s="20" t="s">
        <v>5</v>
      </c>
      <c r="E9" s="20">
        <v>1</v>
      </c>
      <c r="F9" s="21">
        <v>66371.681415929212</v>
      </c>
      <c r="G9" s="22">
        <v>0.13</v>
      </c>
      <c r="H9" s="21">
        <f>F9*(1+G9)</f>
        <v>75000</v>
      </c>
      <c r="I9" s="20"/>
    </row>
    <row r="10" spans="1:9" ht="28">
      <c r="A10" s="23">
        <v>2.1</v>
      </c>
      <c r="B10" s="24" t="s">
        <v>14</v>
      </c>
      <c r="C10" s="24" t="s">
        <v>15</v>
      </c>
      <c r="D10" s="20"/>
      <c r="E10" s="20"/>
      <c r="F10" s="21"/>
      <c r="G10" s="20"/>
      <c r="H10" s="21"/>
      <c r="I10" s="20"/>
    </row>
    <row r="11" spans="1:9">
      <c r="A11" s="23">
        <v>2.2000000000000002</v>
      </c>
      <c r="B11" s="24" t="s">
        <v>16</v>
      </c>
      <c r="C11" s="24" t="s">
        <v>17</v>
      </c>
      <c r="D11" s="20"/>
      <c r="E11" s="20"/>
      <c r="F11" s="21"/>
      <c r="G11" s="20"/>
      <c r="H11" s="21"/>
      <c r="I11" s="20"/>
    </row>
    <row r="12" spans="1:9">
      <c r="A12" s="25">
        <v>3</v>
      </c>
      <c r="B12" s="26" t="s">
        <v>18</v>
      </c>
      <c r="C12" s="19"/>
      <c r="D12" s="20" t="s">
        <v>5</v>
      </c>
      <c r="E12" s="20">
        <v>1</v>
      </c>
      <c r="F12" s="21">
        <v>176991.1504424779</v>
      </c>
      <c r="G12" s="22">
        <v>0.13</v>
      </c>
      <c r="H12" s="21">
        <f>F12*(1+G12)</f>
        <v>200000</v>
      </c>
      <c r="I12" s="20"/>
    </row>
    <row r="13" spans="1:9">
      <c r="A13" s="23">
        <v>3.1</v>
      </c>
      <c r="B13" s="24" t="s">
        <v>74</v>
      </c>
      <c r="C13" s="24" t="s">
        <v>67</v>
      </c>
      <c r="D13" s="20"/>
      <c r="E13" s="20"/>
      <c r="F13" s="21"/>
      <c r="G13" s="20"/>
      <c r="H13" s="21"/>
      <c r="I13" s="20"/>
    </row>
    <row r="14" spans="1:9">
      <c r="A14" s="23">
        <v>3.2</v>
      </c>
      <c r="B14" s="24" t="s">
        <v>19</v>
      </c>
      <c r="C14" s="24"/>
      <c r="D14" s="20"/>
      <c r="E14" s="20"/>
      <c r="F14" s="21"/>
      <c r="G14" s="20"/>
      <c r="H14" s="21"/>
      <c r="I14" s="20"/>
    </row>
    <row r="15" spans="1:9">
      <c r="A15" s="23" t="s">
        <v>20</v>
      </c>
      <c r="B15" s="24" t="s">
        <v>21</v>
      </c>
      <c r="C15" s="24" t="s">
        <v>22</v>
      </c>
      <c r="D15" s="20"/>
      <c r="E15" s="20"/>
      <c r="F15" s="21"/>
      <c r="G15" s="20"/>
      <c r="H15" s="21"/>
      <c r="I15" s="20"/>
    </row>
    <row r="16" spans="1:9">
      <c r="A16" s="23" t="s">
        <v>23</v>
      </c>
      <c r="B16" s="24" t="s">
        <v>24</v>
      </c>
      <c r="C16" s="24" t="s">
        <v>25</v>
      </c>
      <c r="D16" s="20"/>
      <c r="E16" s="20"/>
      <c r="F16" s="21"/>
      <c r="G16" s="20"/>
      <c r="H16" s="21"/>
      <c r="I16" s="20"/>
    </row>
    <row r="17" spans="1:9">
      <c r="A17" s="23" t="s">
        <v>26</v>
      </c>
      <c r="B17" s="24" t="s">
        <v>27</v>
      </c>
      <c r="C17" s="24" t="s">
        <v>28</v>
      </c>
      <c r="D17" s="20"/>
      <c r="E17" s="20"/>
      <c r="F17" s="21"/>
      <c r="G17" s="20"/>
      <c r="H17" s="21"/>
      <c r="I17" s="20"/>
    </row>
    <row r="18" spans="1:9">
      <c r="A18" s="23" t="s">
        <v>29</v>
      </c>
      <c r="B18" s="24" t="s">
        <v>30</v>
      </c>
      <c r="C18" s="24" t="s">
        <v>31</v>
      </c>
      <c r="D18" s="20"/>
      <c r="E18" s="20"/>
      <c r="F18" s="21"/>
      <c r="G18" s="20"/>
      <c r="H18" s="21"/>
      <c r="I18" s="20"/>
    </row>
    <row r="19" spans="1:9">
      <c r="A19" s="23">
        <v>3.3</v>
      </c>
      <c r="B19" s="24" t="s">
        <v>32</v>
      </c>
      <c r="C19" s="24"/>
      <c r="D19" s="20"/>
      <c r="E19" s="20"/>
      <c r="F19" s="21"/>
      <c r="G19" s="20"/>
      <c r="H19" s="21"/>
      <c r="I19" s="20"/>
    </row>
    <row r="20" spans="1:9">
      <c r="A20" s="23" t="s">
        <v>33</v>
      </c>
      <c r="B20" s="24" t="s">
        <v>68</v>
      </c>
      <c r="C20" s="24" t="s">
        <v>34</v>
      </c>
      <c r="D20" s="20"/>
      <c r="E20" s="20"/>
      <c r="F20" s="21"/>
      <c r="G20" s="20"/>
      <c r="H20" s="21"/>
      <c r="I20" s="20"/>
    </row>
    <row r="21" spans="1:9">
      <c r="A21" s="23" t="s">
        <v>35</v>
      </c>
      <c r="B21" s="24" t="s">
        <v>36</v>
      </c>
      <c r="C21" s="24"/>
      <c r="D21" s="20"/>
      <c r="E21" s="20"/>
      <c r="F21" s="21"/>
      <c r="G21" s="20"/>
      <c r="H21" s="21"/>
      <c r="I21" s="20"/>
    </row>
    <row r="22" spans="1:9">
      <c r="A22" s="23" t="s">
        <v>37</v>
      </c>
      <c r="B22" s="24" t="s">
        <v>38</v>
      </c>
      <c r="C22" s="24"/>
      <c r="D22" s="20"/>
      <c r="E22" s="20"/>
      <c r="F22" s="21"/>
      <c r="G22" s="20"/>
      <c r="H22" s="21"/>
      <c r="I22" s="20"/>
    </row>
    <row r="23" spans="1:9">
      <c r="A23" s="25">
        <v>4</v>
      </c>
      <c r="B23" s="2" t="s">
        <v>75</v>
      </c>
      <c r="C23" s="19" t="s">
        <v>76</v>
      </c>
      <c r="D23" s="20"/>
      <c r="E23" s="20">
        <v>1</v>
      </c>
      <c r="F23" s="21">
        <v>132743.36283185842</v>
      </c>
      <c r="G23" s="22">
        <v>0.13</v>
      </c>
      <c r="H23" s="21">
        <f>F23*(1+G23)</f>
        <v>150000</v>
      </c>
      <c r="I23" s="20"/>
    </row>
    <row r="24" spans="1:9">
      <c r="A24" s="23">
        <v>4.0999999999999996</v>
      </c>
      <c r="B24" s="24" t="s">
        <v>39</v>
      </c>
      <c r="C24" s="19"/>
      <c r="D24" s="20"/>
      <c r="E24" s="20"/>
      <c r="F24" s="21"/>
      <c r="G24" s="20"/>
      <c r="H24" s="21"/>
      <c r="I24" s="20"/>
    </row>
    <row r="25" spans="1:9">
      <c r="A25" s="23">
        <v>4.2</v>
      </c>
      <c r="B25" s="24" t="s">
        <v>40</v>
      </c>
      <c r="C25" s="19"/>
      <c r="D25" s="20"/>
      <c r="E25" s="20"/>
      <c r="F25" s="21"/>
      <c r="G25" s="20"/>
      <c r="H25" s="21"/>
      <c r="I25" s="20"/>
    </row>
    <row r="26" spans="1:9">
      <c r="A26" s="23">
        <v>4.3</v>
      </c>
      <c r="B26" s="24" t="s">
        <v>41</v>
      </c>
      <c r="C26" s="19"/>
      <c r="D26" s="20"/>
      <c r="E26" s="20"/>
      <c r="F26" s="21"/>
      <c r="G26" s="20"/>
      <c r="H26" s="21"/>
      <c r="I26" s="20"/>
    </row>
    <row r="27" spans="1:9">
      <c r="A27" s="23">
        <v>4.4000000000000004</v>
      </c>
      <c r="B27" s="24" t="s">
        <v>42</v>
      </c>
      <c r="C27" s="19"/>
      <c r="D27" s="20"/>
      <c r="E27" s="20"/>
      <c r="F27" s="21"/>
      <c r="G27" s="20"/>
      <c r="H27" s="21"/>
      <c r="I27" s="20"/>
    </row>
    <row r="28" spans="1:9">
      <c r="A28" s="25">
        <v>5</v>
      </c>
      <c r="B28" s="2" t="s">
        <v>77</v>
      </c>
      <c r="C28" s="19"/>
      <c r="D28" s="20"/>
      <c r="E28" s="20"/>
      <c r="F28" s="21"/>
      <c r="G28" s="20"/>
      <c r="H28" s="21"/>
      <c r="I28" s="20"/>
    </row>
    <row r="29" spans="1:9">
      <c r="A29" s="23">
        <v>5.0999999999999996</v>
      </c>
      <c r="B29" s="24" t="s">
        <v>69</v>
      </c>
      <c r="C29" s="19"/>
      <c r="D29" s="20"/>
      <c r="E29" s="20"/>
      <c r="F29" s="21"/>
      <c r="G29" s="20"/>
      <c r="H29" s="21"/>
      <c r="I29" s="20"/>
    </row>
    <row r="30" spans="1:9">
      <c r="A30" s="23">
        <v>5.2</v>
      </c>
      <c r="B30" s="24" t="s">
        <v>70</v>
      </c>
      <c r="C30" s="19"/>
      <c r="D30" s="20"/>
      <c r="E30" s="20"/>
      <c r="F30" s="21"/>
      <c r="G30" s="20"/>
      <c r="H30" s="21"/>
      <c r="I30" s="20"/>
    </row>
    <row r="31" spans="1:9">
      <c r="A31" s="23">
        <v>5.3</v>
      </c>
      <c r="B31" s="24" t="s">
        <v>43</v>
      </c>
      <c r="C31" s="19"/>
      <c r="D31" s="20"/>
      <c r="E31" s="20"/>
      <c r="F31" s="21"/>
      <c r="G31" s="20"/>
      <c r="H31" s="21"/>
      <c r="I31" s="20"/>
    </row>
    <row r="32" spans="1:9">
      <c r="A32" s="23">
        <v>5.4</v>
      </c>
      <c r="B32" s="24" t="s">
        <v>71</v>
      </c>
      <c r="C32" s="19"/>
      <c r="D32" s="20"/>
      <c r="E32" s="20"/>
      <c r="F32" s="21"/>
      <c r="G32" s="20"/>
      <c r="H32" s="21"/>
      <c r="I32" s="20"/>
    </row>
    <row r="33" spans="1:9">
      <c r="A33" s="23">
        <v>5.5</v>
      </c>
      <c r="B33" s="24" t="s">
        <v>72</v>
      </c>
      <c r="C33" s="19"/>
      <c r="D33" s="20"/>
      <c r="E33" s="20"/>
      <c r="F33" s="21"/>
      <c r="G33" s="20"/>
      <c r="H33" s="21"/>
      <c r="I33" s="20"/>
    </row>
    <row r="34" spans="1:9">
      <c r="A34" s="23">
        <v>5.6</v>
      </c>
      <c r="B34" s="24" t="s">
        <v>73</v>
      </c>
      <c r="C34" s="19"/>
      <c r="D34" s="20"/>
      <c r="E34" s="20"/>
      <c r="F34" s="21"/>
      <c r="G34" s="20"/>
      <c r="H34" s="21"/>
      <c r="I34" s="20"/>
    </row>
    <row r="35" spans="1:9">
      <c r="A35" s="25" t="s">
        <v>44</v>
      </c>
      <c r="B35" s="2"/>
      <c r="C35" s="2"/>
      <c r="D35" s="3"/>
      <c r="E35" s="3"/>
      <c r="F35" s="6">
        <v>597345.13274336292</v>
      </c>
      <c r="G35" s="4">
        <v>0.13</v>
      </c>
      <c r="H35" s="6">
        <f>F35*(1+G35)</f>
        <v>675000</v>
      </c>
      <c r="I35" s="20"/>
    </row>
    <row r="37" spans="1:9" ht="15.5" thickBot="1">
      <c r="A37" s="27" t="s">
        <v>45</v>
      </c>
      <c r="B37" s="18" t="s">
        <v>58</v>
      </c>
    </row>
    <row r="38" spans="1:9">
      <c r="A38" s="25">
        <v>1</v>
      </c>
      <c r="B38" s="19" t="s">
        <v>4</v>
      </c>
      <c r="C38" s="19"/>
      <c r="D38" s="20" t="s">
        <v>5</v>
      </c>
      <c r="E38" s="20"/>
      <c r="F38" s="21">
        <v>398230.08849557524</v>
      </c>
      <c r="G38" s="22">
        <v>0.13</v>
      </c>
      <c r="H38" s="21">
        <f>F38*(1+G38)</f>
        <v>450000</v>
      </c>
      <c r="I38" s="20"/>
    </row>
    <row r="39" spans="1:9">
      <c r="A39" s="25">
        <v>1.1000000000000001</v>
      </c>
      <c r="B39" s="26" t="s">
        <v>46</v>
      </c>
      <c r="C39" s="19" t="s">
        <v>47</v>
      </c>
      <c r="D39" s="20"/>
      <c r="E39" s="20"/>
      <c r="F39" s="21"/>
      <c r="G39" s="20"/>
      <c r="H39" s="21"/>
      <c r="I39" s="20"/>
    </row>
    <row r="40" spans="1:9">
      <c r="A40" s="25">
        <v>1.2</v>
      </c>
      <c r="B40" s="26" t="s">
        <v>48</v>
      </c>
      <c r="C40" s="19" t="s">
        <v>49</v>
      </c>
      <c r="D40" s="20"/>
      <c r="E40" s="20"/>
      <c r="F40" s="21"/>
      <c r="G40" s="20"/>
      <c r="H40" s="21"/>
      <c r="I40" s="20"/>
    </row>
    <row r="41" spans="1:9">
      <c r="A41" s="25">
        <v>1.3</v>
      </c>
      <c r="B41" s="26" t="s">
        <v>50</v>
      </c>
      <c r="C41" s="19" t="s">
        <v>51</v>
      </c>
      <c r="D41" s="20"/>
      <c r="E41" s="20"/>
      <c r="F41" s="21"/>
      <c r="G41" s="20"/>
      <c r="H41" s="21"/>
      <c r="I41" s="20"/>
    </row>
    <row r="42" spans="1:9">
      <c r="A42" s="25">
        <v>2</v>
      </c>
      <c r="B42" s="26" t="s">
        <v>18</v>
      </c>
      <c r="C42" s="19"/>
      <c r="D42" s="20" t="s">
        <v>5</v>
      </c>
      <c r="E42" s="20"/>
      <c r="F42" s="21"/>
      <c r="G42" s="20"/>
      <c r="H42" s="21"/>
      <c r="I42" s="20"/>
    </row>
    <row r="43" spans="1:9">
      <c r="A43" s="23">
        <v>2.1</v>
      </c>
      <c r="B43" s="24" t="s">
        <v>52</v>
      </c>
      <c r="C43" s="24" t="s">
        <v>53</v>
      </c>
      <c r="D43" s="20"/>
      <c r="E43" s="20"/>
      <c r="F43" s="21">
        <v>22123.893805309737</v>
      </c>
      <c r="G43" s="22">
        <v>0.13</v>
      </c>
      <c r="H43" s="21">
        <f>F43*(1+G43)</f>
        <v>25000</v>
      </c>
      <c r="I43" s="20"/>
    </row>
    <row r="44" spans="1:9">
      <c r="A44" s="23">
        <v>3</v>
      </c>
      <c r="B44" s="26" t="s">
        <v>54</v>
      </c>
      <c r="C44" s="24"/>
      <c r="D44" s="20" t="s">
        <v>5</v>
      </c>
      <c r="E44" s="20"/>
      <c r="F44" s="21">
        <v>66371.681415929212</v>
      </c>
      <c r="G44" s="22">
        <v>0.13</v>
      </c>
      <c r="H44" s="21">
        <f>F44*(1+G44)</f>
        <v>75000</v>
      </c>
      <c r="I44" s="20"/>
    </row>
    <row r="45" spans="1:9">
      <c r="A45" s="25" t="s">
        <v>44</v>
      </c>
      <c r="B45" s="2"/>
      <c r="C45" s="2"/>
      <c r="D45" s="3"/>
      <c r="E45" s="3"/>
      <c r="F45" s="6">
        <v>486725.66371681419</v>
      </c>
      <c r="G45" s="4">
        <v>0.13</v>
      </c>
      <c r="H45" s="6">
        <f>F45*(1+G45)</f>
        <v>550000</v>
      </c>
      <c r="I45" s="20"/>
    </row>
    <row r="46" spans="1:9">
      <c r="A46" s="25" t="s">
        <v>55</v>
      </c>
      <c r="B46" s="2"/>
      <c r="C46" s="2"/>
      <c r="D46" s="3"/>
      <c r="E46" s="3"/>
      <c r="F46" s="6">
        <f>F45+F35</f>
        <v>1084070.7964601771</v>
      </c>
      <c r="G46" s="4"/>
      <c r="H46" s="6">
        <f>H45+H35</f>
        <v>1225000</v>
      </c>
      <c r="I46" s="20"/>
    </row>
    <row r="48" spans="1:9" s="11" customFormat="1" ht="14.5">
      <c r="A48" s="10" t="s">
        <v>60</v>
      </c>
      <c r="B48" s="28" t="s">
        <v>78</v>
      </c>
      <c r="C48" s="28"/>
      <c r="D48" s="28"/>
      <c r="E48" s="28"/>
      <c r="F48" s="28"/>
      <c r="G48" s="28"/>
      <c r="H48" s="28"/>
      <c r="I48" s="28"/>
    </row>
    <row r="49" spans="1:10" s="11" customFormat="1">
      <c r="A49" s="10"/>
      <c r="B49" s="28" t="s">
        <v>79</v>
      </c>
      <c r="C49" s="28"/>
      <c r="D49" s="28"/>
      <c r="E49" s="28"/>
      <c r="F49" s="28"/>
      <c r="G49" s="28"/>
      <c r="H49" s="28"/>
      <c r="I49" s="28"/>
    </row>
    <row r="50" spans="1:10" s="13" customFormat="1" ht="14.25" customHeight="1">
      <c r="A50" s="10"/>
      <c r="B50" s="28" t="s">
        <v>80</v>
      </c>
      <c r="C50" s="28"/>
      <c r="D50" s="28"/>
      <c r="E50" s="28"/>
      <c r="F50" s="28"/>
      <c r="G50" s="28"/>
      <c r="H50" s="28"/>
      <c r="I50" s="28"/>
      <c r="J50" s="12"/>
    </row>
    <row r="51" spans="1:10" s="13" customFormat="1" ht="14.25" customHeight="1">
      <c r="A51" s="10"/>
      <c r="B51" s="28" t="s">
        <v>81</v>
      </c>
      <c r="C51" s="28"/>
      <c r="D51" s="28"/>
      <c r="E51" s="28"/>
      <c r="F51" s="28"/>
      <c r="G51" s="28"/>
      <c r="H51" s="28"/>
      <c r="I51" s="28"/>
      <c r="J51" s="12"/>
    </row>
    <row r="52" spans="1:10" s="11" customFormat="1" ht="14.25" customHeight="1">
      <c r="A52" s="10"/>
      <c r="B52" s="28" t="s">
        <v>82</v>
      </c>
      <c r="C52" s="28"/>
      <c r="D52" s="28"/>
      <c r="E52" s="28"/>
      <c r="F52" s="28"/>
      <c r="G52" s="28"/>
      <c r="H52" s="28"/>
      <c r="I52" s="28"/>
      <c r="J52" s="12"/>
    </row>
  </sheetData>
  <mergeCells count="6">
    <mergeCell ref="B52:I52"/>
    <mergeCell ref="B51:I51"/>
    <mergeCell ref="A1:I1"/>
    <mergeCell ref="B48:I48"/>
    <mergeCell ref="B49:I49"/>
    <mergeCell ref="B50:I5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75" fitToHeight="3" orientation="landscape" r:id="rId1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功能分阶段 </vt:lpstr>
      <vt:lpstr>'功能分阶段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MA29176</dc:creator>
  <cp:lastModifiedBy>MA29176</cp:lastModifiedBy>
  <cp:lastPrinted>2026-03-17T11:54:08Z</cp:lastPrinted>
  <dcterms:created xsi:type="dcterms:W3CDTF">2026-03-17T09:31:21Z</dcterms:created>
  <dcterms:modified xsi:type="dcterms:W3CDTF">2026-03-17T11:54:27Z</dcterms:modified>
</cp:coreProperties>
</file>